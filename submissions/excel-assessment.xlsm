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Imarticus\Nandugade_Mapup\MapUp-DA-Assessment-2024\"/>
    </mc:Choice>
  </mc:AlternateContent>
  <xr:revisionPtr revIDLastSave="0" documentId="13_ncr:1_{D21E34DE-1760-468D-A364-6BBC6CD1D917}" xr6:coauthVersionLast="47" xr6:coauthVersionMax="47" xr10:uidLastSave="{00000000-0000-0000-0000-000000000000}"/>
  <bookViews>
    <workbookView xWindow="-108" yWindow="-108" windowWidth="23256" windowHeight="12456" tabRatio="849" activeTab="1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2" i="19" l="1" a="1"/>
  <c r="C22" i="19" s="1"/>
  <c r="C23" i="20"/>
  <c r="H41" i="1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C24" i="20"/>
  <c r="C25" i="20"/>
  <c r="C26" i="20"/>
  <c r="C27" i="20"/>
  <c r="C28" i="20"/>
  <c r="C29" i="20"/>
  <c r="C30" i="20"/>
  <c r="C31" i="20"/>
  <c r="C32" i="20"/>
  <c r="C33" i="20"/>
  <c r="C34" i="20"/>
  <c r="C35" i="20"/>
  <c r="C30" i="18" l="1"/>
  <c r="F30" i="18"/>
  <c r="E28" i="18"/>
  <c r="D29" i="18"/>
  <c r="B30" i="18"/>
  <c r="E29" i="18"/>
  <c r="D28" i="18"/>
  <c r="B29" i="18"/>
  <c r="D30" i="18"/>
  <c r="E30" i="18"/>
  <c r="B28" i="18"/>
  <c r="C28" i="18"/>
  <c r="F28" i="18"/>
  <c r="C29" i="18"/>
  <c r="F29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<sst xmlns="http://schemas.openxmlformats.org/spreadsheetml/2006/main" count="415" uniqueCount="192">
  <si>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</si>
  <si>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</si>
  <si>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</si>
  <si>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</si>
  <si>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</si>
  <si>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</si>
  <si>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</si>
  <si>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</si>
  <si>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</si>
  <si>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</si>
  <si>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</si>
  <si>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</si>
  <si>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</si>
  <si>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</si>
  <si>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</si>
  <si>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</si>
  <si>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</si>
  <si>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</si>
  <si>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</si>
  <si>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</si>
  <si>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</si>
  <si>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</si>
  <si>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</si>
  <si>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</si>
  <si>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</si>
  <si>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</si>
  <si>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</si>
  <si>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</si>
  <si>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</si>
  <si>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</si>
  <si>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</si>
  <si>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</si>
  <si>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</si>
  <si>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</si>
  <si>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</si>
  <si>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</si>
  <si>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</si>
  <si>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</si>
  <si>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</si>
  <si>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</si>
  <si>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</si>
  <si>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</si>
  <si>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</si>
  <si>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</si>
  <si>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</si>
  <si>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</si>
  <si>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</si>
  <si>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</si>
  <si>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</si>
  <si>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</si>
  <si>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</si>
  <si>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</si>
  <si>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</si>
  <si>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</si>
  <si>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</si>
  <si>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</si>
  <si>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</si>
  <si>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</si>
  <si>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</si>
  <si>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</si>
  <si>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</si>
  <si>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</si>
  <si>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</si>
  <si>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</si>
  <si>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</si>
  <si>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</si>
  <si>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</si>
  <si>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</si>
  <si>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</si>
  <si>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</si>
  <si>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</si>
  <si>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</si>
  <si>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</si>
  <si>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</si>
  <si>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</si>
  <si>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</si>
  <si>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</si>
  <si>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</si>
  <si>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</si>
  <si>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</si>
  <si>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</si>
  <si>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</si>
  <si>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</si>
  <si>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</si>
  <si>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</si>
  <si>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</si>
  <si>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</si>
  <si>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</si>
  <si>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</si>
  <si>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</si>
  <si>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</si>
  <si>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</si>
  <si>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</si>
  <si>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</si>
  <si>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</si>
  <si>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</si>
  <si>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</si>
  <si>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</si>
  <si>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</si>
  <si>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</si>
  <si>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</si>
  <si>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</si>
  <si>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</si>
  <si>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</si>
  <si>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</si>
  <si>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</si>
  <si>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</si>
  <si>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</si>
  <si>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</si>
  <si>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</si>
  <si>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</si>
  <si>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</si>
  <si>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</si>
  <si>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</si>
  <si>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</si>
  <si>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</si>
  <si>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</si>
  <si>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</si>
  <si>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</si>
  <si>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</si>
  <si>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</si>
  <si>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</si>
  <si>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</si>
  <si>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</si>
  <si>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</si>
  <si>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</si>
  <si>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</si>
  <si>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</si>
  <si>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</si>
  <si>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</si>
  <si>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</si>
  <si>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</si>
  <si>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</si>
  <si>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</si>
  <si>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</si>
  <si>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</si>
  <si>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</si>
  <si>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</si>
  <si>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</si>
  <si>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</si>
  <si>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</si>
  <si>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</si>
  <si>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</si>
  <si>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</si>
  <si>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</si>
  <si>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</si>
  <si>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</si>
  <si>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</si>
  <si>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</si>
  <si>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</si>
  <si>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</si>
  <si>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</si>
  <si>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</si>
  <si>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</si>
  <si>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</si>
  <si>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</si>
  <si>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</si>
  <si>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</si>
  <si>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</si>
  <si>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</si>
  <si>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</si>
  <si>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</si>
  <si>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</si>
  <si>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</si>
  <si>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</si>
  <si>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</si>
  <si>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</si>
  <si>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</si>
  <si>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</si>
  <si>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</si>
  <si>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</si>
  <si>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</si>
  <si>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</si>
  <si>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</si>
  <si>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</si>
  <si>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</si>
  <si>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</si>
  <si>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SUMIF(H2:H40, "&gt;20")</t>
  </si>
  <si>
    <t>SUMIF &gt;20 =</t>
  </si>
  <si>
    <t>INDEX($A$9:$J$18,MATCH(VLOOKUP(A23, $M$9:$N$18, 2,FALSE),$A$9:$J$9,0),MATCH(VLOOKUP(B23, $M$9:$N$18, 2,FALSE),$A$9:$A$18,0))</t>
  </si>
  <si>
    <t>SUM(IFERROR(C12:C21, 20))</t>
  </si>
  <si>
    <t xml:space="preserve">I'm using  "INDEX","MATCH" &amp; "VLOOKUP" Function </t>
  </si>
  <si>
    <t>I use VLOOKUP to find the letters corresponding to name_1 and name_2 in Table_B. Then, I use INDEX to retrieve the correct value from Table_A, with MATCH helping to identify</t>
  </si>
  <si>
    <t>the correct row and column numbers based on the letters. Essentially, name_1 and name_2 are looked up in Table_B to obtain matching IDs, which are then cross-referenced in Table_A  to both names.</t>
  </si>
  <si>
    <t>to find the value that corresponds</t>
  </si>
  <si>
    <t>The IFERROR function helps replace errors (such as #N/A) with a specific value, which in this case would be 20.</t>
  </si>
  <si>
    <t xml:space="preserve"> I will apply the IFERROR function to substitute any #N/A values with 20 as part of the sum calculation</t>
  </si>
  <si>
    <t xml:space="preserve">Text to Columns using Delimited function </t>
  </si>
  <si>
    <t xml:space="preserve">I'm using the Text to Columns feature with the Delimited option to split data based on the "-" symbol. </t>
  </si>
  <si>
    <t xml:space="preserve">This built-in function can also split data using any symbol, space, or other delimiter. </t>
  </si>
  <si>
    <t xml:space="preserve"> Another method is by using a formula approach, such as the TRIM and TEXTSPLIT functions. For example, </t>
  </si>
  <si>
    <t>split data by typing the formula: TRIM(TEXTSPLIT(A16, {"-","-","-"})).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</si>
</sst>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8" xfId="0" applyFont="1" applyBorder="1"/>
    <xf numFmtId="0" fontId="7" fillId="7" borderId="0" xfId="0" applyFont="1" applyFill="1"/>
    <xf numFmtId="0" fontId="7" fillId="6" borderId="0" xfId="0" applyFont="1" applyFill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6" t="s">
        <v>170</v>
      </c>
      <c r="B9" s="26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abSelected="1" topLeftCell="C1" zoomScaleNormal="100" workbookViewId="0">
      <pane ySplit="1" topLeftCell="A2" activePane="bottomLeft" state="frozen"/>
      <selection pane="bottomLeft" activeCell="O13" sqref="O13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8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8">
        <v>44962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8">
        <v>45174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8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8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8">
        <v>45235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8">
        <v>45082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8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8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8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8">
        <v>45176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8">
        <v>44992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8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8">
        <v>45084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8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8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8">
        <v>45144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8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8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8">
        <v>44963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8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8">
        <v>44992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8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8">
        <v>45237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8">
        <v>45024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8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8">
        <v>44933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8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8">
        <v>45268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8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8">
        <v>45054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8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8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8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8">
        <v>45208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8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8">
        <v>45054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8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8">
        <v>45162</v>
      </c>
    </row>
    <row r="41" spans="1:24" x14ac:dyDescent="0.3">
      <c r="G41" s="47" t="s">
        <v>178</v>
      </c>
      <c r="H41" s="46">
        <f>SUMIF(H2:H40, "&gt;20")</f>
        <v>1473.0000000000002</v>
      </c>
    </row>
  </sheetData>
  <conditionalFormatting sqref="A1:A1048576">
    <cfRule type="duplicateValues" dxfId="4" priority="4"/>
  </conditionalFormatting>
  <conditionalFormatting sqref="B1:B1048576">
    <cfRule type="duplicateValues" dxfId="3" priority="3"/>
  </conditionalFormatting>
  <conditionalFormatting sqref="G2:W40">
    <cfRule type="cellIs" dxfId="2" priority="2" operator="equal">
      <formula>-1</formula>
    </cfRule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F6" sqref="F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177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6" zoomScaleNormal="100" workbookViewId="0">
      <selection activeCell="D28" sqref="D28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163</v>
      </c>
    </row>
    <row r="2" spans="1:7" s="41" customFormat="1" ht="21" x14ac:dyDescent="0.4">
      <c r="B2" s="41" t="s">
        <v>160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161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>
        <f>VLOOKUP(Task_2!A6,Dataset!A1:X40,7,FALSE)</f>
        <v>2.7</v>
      </c>
      <c r="C6" s="12">
        <f>VLOOKUP(A6,Dataset!A1:X40,14,FALSE)</f>
        <v>7.6</v>
      </c>
      <c r="D6" s="12">
        <f>VLOOKUP(A6,Dataset!A1:X40,18,FALSE)</f>
        <v>4.2</v>
      </c>
      <c r="E6" s="12">
        <f>VLOOKUP(A6,Dataset!A1:X40,20,FALSE)</f>
        <v>8.9</v>
      </c>
      <c r="F6" s="8">
        <f>VLOOKUP(A6,Dataset!A1:X40,22,FALSE)</f>
        <v>4.2</v>
      </c>
    </row>
    <row r="7" spans="1:7" ht="14.4" x14ac:dyDescent="0.3">
      <c r="A7" s="7" t="s">
        <v>4</v>
      </c>
      <c r="B7" s="12">
        <f>VLOOKUP(Task_2!A7,Dataset!A2:X41,7,FALSE)</f>
        <v>2.7</v>
      </c>
      <c r="C7" s="12">
        <f>VLOOKUP(A7,Dataset!A2:X41,14,FALSE)</f>
        <v>7.6</v>
      </c>
      <c r="D7" s="12">
        <f>VLOOKUP(A7,Dataset!A2:X41,18,FALSE)</f>
        <v>4.2</v>
      </c>
      <c r="E7" s="12">
        <f>VLOOKUP(A7,Dataset!A2:X41,20,FALSE)</f>
        <v>8.9</v>
      </c>
      <c r="F7" s="8">
        <f>VLOOKUP(A7,Dataset!A2:X41,22,FALSE)</f>
        <v>4.2</v>
      </c>
    </row>
    <row r="8" spans="1:7" ht="14.4" x14ac:dyDescent="0.3">
      <c r="A8" s="7" t="s">
        <v>7</v>
      </c>
      <c r="B8" s="12">
        <f>VLOOKUP(Task_2!A8,Dataset!A3:X42,7,FALSE)</f>
        <v>3.6</v>
      </c>
      <c r="C8" s="12">
        <f>VLOOKUP(A8,Dataset!A3:X42,14,FALSE)</f>
        <v>11.1</v>
      </c>
      <c r="D8" s="12">
        <f>VLOOKUP(A8,Dataset!A3:X42,18,FALSE)</f>
        <v>5.8</v>
      </c>
      <c r="E8" s="12">
        <f>VLOOKUP(A8,Dataset!A3:X42,20,FALSE)</f>
        <v>12.2</v>
      </c>
      <c r="F8" s="8">
        <f>VLOOKUP(A8,Dataset!A3:X42,22,FALSE)</f>
        <v>5.8</v>
      </c>
    </row>
    <row r="9" spans="1:7" ht="14.4" x14ac:dyDescent="0.3">
      <c r="A9" s="7" t="s">
        <v>8</v>
      </c>
      <c r="B9" s="12">
        <f>VLOOKUP(Task_2!A9,Dataset!A4:X43,7,FALSE)</f>
        <v>4.9000000000000004</v>
      </c>
      <c r="C9" s="12">
        <f>VLOOKUP(A9,Dataset!A4:X43,14,FALSE)</f>
        <v>13.3</v>
      </c>
      <c r="D9" s="12">
        <f>VLOOKUP(A9,Dataset!A4:X43,18,FALSE)</f>
        <v>8.1</v>
      </c>
      <c r="E9" s="12">
        <f>VLOOKUP(A9,Dataset!A4:X43,20,FALSE)</f>
        <v>17</v>
      </c>
      <c r="F9" s="8">
        <f>VLOOKUP(A9,Dataset!A4:X43,22,FALSE)</f>
        <v>8.1</v>
      </c>
    </row>
    <row r="10" spans="1:7" ht="14.4" x14ac:dyDescent="0.3">
      <c r="A10" s="7" t="s">
        <v>11</v>
      </c>
      <c r="B10" s="12">
        <f>VLOOKUP(Task_2!A10,Dataset!A5:X44,7,FALSE)</f>
        <v>9.4</v>
      </c>
      <c r="C10" s="12">
        <f>VLOOKUP(A10,Dataset!A5:X44,14,FALSE)</f>
        <v>28.3</v>
      </c>
      <c r="D10" s="12">
        <f>VLOOKUP(A10,Dataset!A5:X44,18,FALSE)</f>
        <v>16.100000000000001</v>
      </c>
      <c r="E10" s="12">
        <f>VLOOKUP(A10,Dataset!A5:X44,20,FALSE)</f>
        <v>32.799999999999997</v>
      </c>
      <c r="F10" s="8">
        <f>VLOOKUP(A10,Dataset!A5:X44,22,FALSE)</f>
        <v>16.100000000000001</v>
      </c>
    </row>
    <row r="11" spans="1:7" ht="14.4" x14ac:dyDescent="0.3">
      <c r="A11" s="7" t="s">
        <v>12</v>
      </c>
      <c r="B11" s="12">
        <f>VLOOKUP(Task_2!A11,Dataset!A6:X45,7,FALSE)</f>
        <v>11.6</v>
      </c>
      <c r="C11" s="12">
        <f>VLOOKUP(A11,Dataset!A6:X45,14,FALSE)</f>
        <v>35.200000000000003</v>
      </c>
      <c r="D11" s="12">
        <f>VLOOKUP(A11,Dataset!A6:X45,18,FALSE)</f>
        <v>21.3</v>
      </c>
      <c r="E11" s="12">
        <f>VLOOKUP(A11,Dataset!A6:X45,20,FALSE)</f>
        <v>43</v>
      </c>
      <c r="F11" s="8">
        <f>VLOOKUP(A11,Dataset!A6:X45,22,FALSE)</f>
        <v>21.3</v>
      </c>
    </row>
    <row r="12" spans="1:7" ht="14.4" x14ac:dyDescent="0.3">
      <c r="A12" s="7" t="s">
        <v>14</v>
      </c>
      <c r="B12" s="12">
        <f>VLOOKUP(Task_2!A12,Dataset!A7:X46,7,FALSE)</f>
        <v>18.399999999999999</v>
      </c>
      <c r="C12" s="12">
        <f>VLOOKUP(A12,Dataset!A7:X46,14,FALSE)</f>
        <v>55.6</v>
      </c>
      <c r="D12" s="12">
        <f>VLOOKUP(A12,Dataset!A7:X46,18,FALSE)</f>
        <v>33.799999999999997</v>
      </c>
      <c r="E12" s="12">
        <f>VLOOKUP(A12,Dataset!A7:X46,20,FALSE)</f>
        <v>67.900000000000006</v>
      </c>
      <c r="F12" s="8">
        <f>VLOOKUP(A12,Dataset!A7:X46,22,FALSE)</f>
        <v>33.799999999999997</v>
      </c>
    </row>
    <row r="13" spans="1:7" ht="14.4" x14ac:dyDescent="0.3">
      <c r="A13" s="7" t="s">
        <v>15</v>
      </c>
      <c r="B13" s="12">
        <f>VLOOKUP(Task_2!A13,Dataset!A8:X47,7,FALSE)</f>
        <v>0</v>
      </c>
      <c r="C13" s="12">
        <f>VLOOKUP(A13,Dataset!A8:X47,14,FALSE)</f>
        <v>0</v>
      </c>
      <c r="D13" s="12">
        <f>VLOOKUP(A13,Dataset!A8:X47,18,FALSE)</f>
        <v>0</v>
      </c>
      <c r="E13" s="12">
        <f>VLOOKUP(A13,Dataset!A8:X47,20,FALSE)</f>
        <v>0</v>
      </c>
      <c r="F13" s="8">
        <f>VLOOKUP(A13,Dataset!A8:X47,22,FALSE)</f>
        <v>0</v>
      </c>
    </row>
    <row r="14" spans="1:7" ht="14.4" x14ac:dyDescent="0.3">
      <c r="A14" s="7" t="s">
        <v>16</v>
      </c>
      <c r="B14" s="12">
        <f>VLOOKUP(Task_2!A14,Dataset!A9:X48,7,FALSE)</f>
        <v>21.9</v>
      </c>
      <c r="C14" s="12">
        <f>VLOOKUP(A14,Dataset!A9:X48,14,FALSE)</f>
        <v>61.5</v>
      </c>
      <c r="D14" s="12">
        <f>VLOOKUP(A14,Dataset!A9:X48,18,FALSE)</f>
        <v>40.1</v>
      </c>
      <c r="E14" s="12">
        <f>VLOOKUP(A14,Dataset!A9:X48,20,FALSE)</f>
        <v>76.599999999999994</v>
      </c>
      <c r="F14" s="8">
        <f>VLOOKUP(A14,Dataset!A9:X48,22,FALSE)</f>
        <v>40.1</v>
      </c>
    </row>
    <row r="15" spans="1:7" ht="14.4" x14ac:dyDescent="0.3">
      <c r="A15" s="7" t="s">
        <v>18</v>
      </c>
      <c r="B15" s="12">
        <f>VLOOKUP(Task_2!A15,Dataset!A10:X49,7,FALSE)</f>
        <v>26.8</v>
      </c>
      <c r="C15" s="12">
        <f>VLOOKUP(A15,Dataset!A10:X49,14,FALSE)</f>
        <v>79.599999999999994</v>
      </c>
      <c r="D15" s="12">
        <f>VLOOKUP(A15,Dataset!A10:X49,18,FALSE)</f>
        <v>47.9</v>
      </c>
      <c r="E15" s="12">
        <f>VLOOKUP(A15,Dataset!A10:X49,20,FALSE)</f>
        <v>96.8</v>
      </c>
      <c r="F15" s="8">
        <f>VLOOKUP(A15,Dataset!A10:X49,22,FALSE)</f>
        <v>47.9</v>
      </c>
    </row>
    <row r="16" spans="1:7" ht="14.4" x14ac:dyDescent="0.3">
      <c r="A16" s="7" t="s">
        <v>20</v>
      </c>
      <c r="B16" s="12">
        <f>VLOOKUP(Task_2!A16,Dataset!A11:X50,7,FALSE)</f>
        <v>28.5</v>
      </c>
      <c r="C16" s="12">
        <f>VLOOKUP(A16,Dataset!A11:X50,14,FALSE)</f>
        <v>85.4</v>
      </c>
      <c r="D16" s="12">
        <f>VLOOKUP(A16,Dataset!A11:X50,18,FALSE)</f>
        <v>52.3</v>
      </c>
      <c r="E16" s="12">
        <f>VLOOKUP(A16,Dataset!A11:X50,20,FALSE)</f>
        <v>106.1</v>
      </c>
      <c r="F16" s="8">
        <f>VLOOKUP(A16,Dataset!A11:X50,22,FALSE)</f>
        <v>52.3</v>
      </c>
    </row>
    <row r="17" spans="1:6" ht="14.4" x14ac:dyDescent="0.3">
      <c r="A17" s="7" t="s">
        <v>22</v>
      </c>
      <c r="B17" s="12">
        <f>VLOOKUP(Task_2!A17,Dataset!A12:X51,7,FALSE)</f>
        <v>30.7</v>
      </c>
      <c r="C17" s="12">
        <f>VLOOKUP(A17,Dataset!A12:X51,14,FALSE)</f>
        <v>92.1</v>
      </c>
      <c r="D17" s="12">
        <f>VLOOKUP(A17,Dataset!A12:X51,18,FALSE)</f>
        <v>57</v>
      </c>
      <c r="E17" s="12">
        <f>VLOOKUP(A17,Dataset!A12:X51,20,FALSE)</f>
        <v>115.1</v>
      </c>
      <c r="F17" s="8">
        <f>VLOOKUP(A17,Dataset!A12:X51,22,FALSE)</f>
        <v>57</v>
      </c>
    </row>
    <row r="18" spans="1:6" ht="14.4" x14ac:dyDescent="0.3">
      <c r="A18" s="7" t="s">
        <v>23</v>
      </c>
      <c r="B18" s="12">
        <f>VLOOKUP(Task_2!A18,Dataset!A13:X52,7,FALSE)</f>
        <v>33.799999999999997</v>
      </c>
      <c r="C18" s="12">
        <f>VLOOKUP(A18,Dataset!A13:X52,14,FALSE)</f>
        <v>101.3</v>
      </c>
      <c r="D18" s="12">
        <f>VLOOKUP(A18,Dataset!A13:X52,18,FALSE)</f>
        <v>61.4</v>
      </c>
      <c r="E18" s="12">
        <f>VLOOKUP(A18,Dataset!A13:X52,20,FALSE)</f>
        <v>124.4</v>
      </c>
      <c r="F18" s="8">
        <f>VLOOKUP(A18,Dataset!A13:X52,22,FALSE)</f>
        <v>61.4</v>
      </c>
    </row>
    <row r="19" spans="1:6" ht="14.4" x14ac:dyDescent="0.3">
      <c r="A19" s="7" t="s">
        <v>24</v>
      </c>
      <c r="B19" s="12">
        <f>VLOOKUP(Task_2!A19,Dataset!A14:X53,7,FALSE)</f>
        <v>34.700000000000003</v>
      </c>
      <c r="C19" s="12">
        <f>VLOOKUP(A19,Dataset!A14:X53,14,FALSE)</f>
        <v>106.1</v>
      </c>
      <c r="D19" s="12">
        <f>VLOOKUP(A19,Dataset!A14:X53,18,FALSE)</f>
        <v>63.6</v>
      </c>
      <c r="E19" s="12">
        <f>VLOOKUP(A19,Dataset!A14:X53,20,FALSE)</f>
        <v>128.6</v>
      </c>
      <c r="F19" s="8">
        <f>VLOOKUP(A19,Dataset!A14:X53,22,FALSE)</f>
        <v>63.6</v>
      </c>
    </row>
    <row r="20" spans="1:6" ht="14.4" x14ac:dyDescent="0.3">
      <c r="A20" s="7" t="s">
        <v>28</v>
      </c>
      <c r="B20" s="12">
        <f>VLOOKUP(Task_2!A20,Dataset!A15:X54,7,FALSE)</f>
        <v>0</v>
      </c>
      <c r="C20" s="12">
        <f>VLOOKUP(A20,Dataset!A15:X54,14,FALSE)</f>
        <v>0</v>
      </c>
      <c r="D20" s="12">
        <f>VLOOKUP(A20,Dataset!A15:X54,18,FALSE)</f>
        <v>0</v>
      </c>
      <c r="E20" s="12">
        <f>VLOOKUP(A20,Dataset!A15:X54,20,FALSE)</f>
        <v>0</v>
      </c>
      <c r="F20" s="8">
        <f>VLOOKUP(A20,Dataset!A15:X54,22,FALSE)</f>
        <v>0</v>
      </c>
    </row>
    <row r="21" spans="1:6" ht="14.4" x14ac:dyDescent="0.3">
      <c r="A21" s="7" t="s">
        <v>57</v>
      </c>
      <c r="B21" s="12">
        <f>VLOOKUP(Task_2!A21,Dataset!A16:X55,7,FALSE)</f>
        <v>41.3</v>
      </c>
      <c r="C21" s="12">
        <f>VLOOKUP(A21,Dataset!A16:X55,14,FALSE)</f>
        <v>124.4</v>
      </c>
      <c r="D21" s="12">
        <f>VLOOKUP(A21,Dataset!A16:X55,18,FALSE)</f>
        <v>75</v>
      </c>
      <c r="E21" s="12">
        <f>VLOOKUP(A21,Dataset!A16:X55,20,FALSE)</f>
        <v>151.5</v>
      </c>
      <c r="F21" s="8">
        <f>VLOOKUP(A21,Dataset!A16:X55,22,FALSE)</f>
        <v>75</v>
      </c>
    </row>
    <row r="22" spans="1:6" ht="14.4" x14ac:dyDescent="0.3">
      <c r="A22" s="7" t="s">
        <v>58</v>
      </c>
      <c r="B22" s="12">
        <f>VLOOKUP(Task_2!A22,Dataset!A17:X56,7,FALSE)</f>
        <v>-1</v>
      </c>
      <c r="C22" s="12">
        <f>VLOOKUP(A22,Dataset!A17:X56,14,FALSE)</f>
        <v>-1</v>
      </c>
      <c r="D22" s="12">
        <f>VLOOKUP(A22,Dataset!A17:X56,18,FALSE)</f>
        <v>-1</v>
      </c>
      <c r="E22" s="12">
        <f>VLOOKUP(A22,Dataset!A17:X56,20,FALSE)</f>
        <v>-1</v>
      </c>
      <c r="F22" s="8">
        <f>VLOOKUP(A22,Dataset!A17:X56,22,FALSE)</f>
        <v>-1</v>
      </c>
    </row>
    <row r="23" spans="1:6" ht="14.4" x14ac:dyDescent="0.3">
      <c r="A23" s="7" t="s">
        <v>31</v>
      </c>
      <c r="B23" s="12">
        <f>VLOOKUP(Task_2!A23,Dataset!A18:X57,7,FALSE)</f>
        <v>45</v>
      </c>
      <c r="C23" s="12">
        <f>VLOOKUP(A23,Dataset!A18:X57,14,FALSE)</f>
        <v>133.4</v>
      </c>
      <c r="D23" s="12">
        <f>VLOOKUP(A23,Dataset!A18:X57,18,FALSE)</f>
        <v>79.400000000000006</v>
      </c>
      <c r="E23" s="12">
        <f>VLOOKUP(A23,Dataset!A18:X57,20,FALSE)</f>
        <v>160.9</v>
      </c>
      <c r="F23" s="8">
        <f>VLOOKUP(A23,Dataset!A18:X57,22,FALSE)</f>
        <v>79.400000000000006</v>
      </c>
    </row>
    <row r="24" spans="1:6" ht="14.4" x14ac:dyDescent="0.3">
      <c r="A24" s="7" t="s">
        <v>32</v>
      </c>
      <c r="B24" s="12">
        <f>VLOOKUP(Task_2!A24,Dataset!A19:X58,7,FALSE)</f>
        <v>-1</v>
      </c>
      <c r="C24" s="12">
        <f>VLOOKUP(A24,Dataset!A19:X58,14,FALSE)</f>
        <v>-1</v>
      </c>
      <c r="D24" s="12">
        <f>VLOOKUP(A24,Dataset!A19:X58,18,FALSE)</f>
        <v>-1</v>
      </c>
      <c r="E24" s="12">
        <f>VLOOKUP(A24,Dataset!A19:X58,20,FALSE)</f>
        <v>-1</v>
      </c>
      <c r="F24" s="8">
        <f>VLOOKUP(A24,Dataset!A19:X58,22,FALSE)</f>
        <v>-1</v>
      </c>
    </row>
    <row r="25" spans="1:6" ht="14.4" x14ac:dyDescent="0.3">
      <c r="A25" s="7" t="s">
        <v>34</v>
      </c>
      <c r="B25" s="12">
        <f>VLOOKUP(Task_2!A25,Dataset!A20:X59,7,FALSE)</f>
        <v>43.3</v>
      </c>
      <c r="C25" s="12">
        <f>VLOOKUP(A25,Dataset!A20:X59,14,FALSE)</f>
        <v>128.6</v>
      </c>
      <c r="D25" s="12">
        <f>VLOOKUP(A25,Dataset!A20:X59,18,FALSE)</f>
        <v>79.400000000000006</v>
      </c>
      <c r="E25" s="12">
        <f>VLOOKUP(A25,Dataset!A20:X59,20,FALSE)</f>
        <v>160.9</v>
      </c>
      <c r="F25" s="8">
        <f>VLOOKUP(A25,Dataset!A20:X59,22,FALSE)</f>
        <v>79.400000000000006</v>
      </c>
    </row>
    <row r="26" spans="1:6" ht="14.4" x14ac:dyDescent="0.3">
      <c r="A26" s="7" t="s">
        <v>37</v>
      </c>
      <c r="B26" s="12">
        <f>VLOOKUP(Task_2!A26,Dataset!A21:X60,7,FALSE)</f>
        <v>49.1</v>
      </c>
      <c r="C26" s="12">
        <f>VLOOKUP(A26,Dataset!A21:X60,14,FALSE)</f>
        <v>146.80000000000001</v>
      </c>
      <c r="D26" s="12">
        <f>VLOOKUP(A26,Dataset!A21:X60,18,FALSE)</f>
        <v>90.9</v>
      </c>
      <c r="E26" s="12">
        <f>VLOOKUP(A26,Dataset!A21:X60,20,FALSE)</f>
        <v>183.5</v>
      </c>
      <c r="F26" s="8">
        <f>VLOOKUP(A26,Dataset!A21:X60,22,FALSE)</f>
        <v>90.9</v>
      </c>
    </row>
    <row r="27" spans="1:6" ht="14.4" x14ac:dyDescent="0.3">
      <c r="A27" s="7" t="s">
        <v>39</v>
      </c>
      <c r="B27" s="12">
        <f>VLOOKUP(Task_2!A27,Dataset!A22:X61,7,FALSE)</f>
        <v>51.8</v>
      </c>
      <c r="C27" s="12">
        <f>VLOOKUP(A27,Dataset!A22:X61,14,FALSE)</f>
        <v>156.4</v>
      </c>
      <c r="D27" s="12">
        <f>VLOOKUP(A27,Dataset!A22:X61,18,FALSE)</f>
        <v>93.1</v>
      </c>
      <c r="E27" s="12">
        <f>VLOOKUP(A27,Dataset!A22:X61,20,FALSE)</f>
        <v>188.1</v>
      </c>
      <c r="F27" s="8">
        <f>VLOOKUP(A27,Dataset!A22:X61,22,FALSE)</f>
        <v>93.1</v>
      </c>
    </row>
    <row r="28" spans="1:6" ht="14.4" x14ac:dyDescent="0.3">
      <c r="A28" s="19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4" x14ac:dyDescent="0.3">
      <c r="A29" s="19" t="s">
        <v>83</v>
      </c>
      <c r="B29" s="31">
        <f>MAX(B6:B27)</f>
        <v>51.8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4.4" x14ac:dyDescent="0.3">
      <c r="A30" s="19" t="s">
        <v>84</v>
      </c>
      <c r="B30" s="31">
        <f>AVERAGE(B6:B27)</f>
        <v>20.827272727272728</v>
      </c>
      <c r="C30" s="31">
        <f>AVERAGE(C6:C27)</f>
        <v>62.377272727272725</v>
      </c>
      <c r="D30" s="31">
        <f>AVERAGE(D6:D27)</f>
        <v>37.800000000000004</v>
      </c>
      <c r="E30" s="31">
        <f>AVERAGE(E6:E27)</f>
        <v>76.418181818181822</v>
      </c>
      <c r="F30" s="31">
        <f>AVERAGE(F6:F26)</f>
        <v>35.166666666666664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>
      <selection activeCell="H13" sqref="H13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3" t="s">
        <v>53</v>
      </c>
      <c r="B5" s="40" t="s">
        <v>187</v>
      </c>
    </row>
    <row r="6" spans="1:10" ht="18" x14ac:dyDescent="0.35">
      <c r="A6" s="43" t="s">
        <v>152</v>
      </c>
      <c r="B6" s="40" t="s">
        <v>188</v>
      </c>
    </row>
    <row r="7" spans="1:10" ht="18" x14ac:dyDescent="0.35">
      <c r="A7" s="43"/>
      <c r="B7" s="40" t="s">
        <v>189</v>
      </c>
    </row>
    <row r="8" spans="1:10" ht="18" x14ac:dyDescent="0.35">
      <c r="B8" s="40" t="s">
        <v>190</v>
      </c>
    </row>
    <row r="9" spans="1:10" ht="23.4" x14ac:dyDescent="0.45">
      <c r="A9" s="18" t="s">
        <v>164</v>
      </c>
      <c r="B9" s="40" t="s">
        <v>191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161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9" sqref="B9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166</v>
      </c>
    </row>
    <row r="2" spans="1:3" ht="18" x14ac:dyDescent="0.35">
      <c r="B2" s="40" t="s">
        <v>165</v>
      </c>
    </row>
    <row r="5" spans="1:3" ht="14.4" x14ac:dyDescent="0.3">
      <c r="B5" s="1" t="s">
        <v>150</v>
      </c>
    </row>
    <row r="6" spans="1:3" ht="14.4" x14ac:dyDescent="0.3">
      <c r="A6" s="3" t="s">
        <v>53</v>
      </c>
      <c r="B6" s="1" t="s">
        <v>180</v>
      </c>
    </row>
    <row r="7" spans="1:3" ht="14.4" x14ac:dyDescent="0.3">
      <c r="A7" s="3" t="s">
        <v>152</v>
      </c>
      <c r="B7" s="1" t="s">
        <v>185</v>
      </c>
    </row>
    <row r="8" spans="1:3" x14ac:dyDescent="0.3">
      <c r="B8" s="2" t="s">
        <v>186</v>
      </c>
    </row>
    <row r="10" spans="1:3" ht="23.4" x14ac:dyDescent="0.45">
      <c r="A10" s="18" t="s">
        <v>161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 t="e">
        <v>#N/A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 t="e">
        <v>#N/A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153</v>
      </c>
      <c r="C17" s="17">
        <v>150</v>
      </c>
    </row>
    <row r="18" spans="1:3" ht="14.4" x14ac:dyDescent="0.3">
      <c r="A18" s="32">
        <v>44933</v>
      </c>
      <c r="B18" s="17" t="s">
        <v>154</v>
      </c>
      <c r="C18" s="17">
        <v>80</v>
      </c>
    </row>
    <row r="19" spans="1:3" ht="14.4" x14ac:dyDescent="0.3">
      <c r="A19" s="32">
        <v>44934</v>
      </c>
      <c r="B19" s="17" t="s">
        <v>155</v>
      </c>
      <c r="C19" s="17" t="e">
        <v>#N/A</v>
      </c>
    </row>
    <row r="20" spans="1:3" ht="14.4" x14ac:dyDescent="0.3">
      <c r="A20" s="32">
        <v>44935</v>
      </c>
      <c r="B20" s="17" t="s">
        <v>156</v>
      </c>
      <c r="C20" s="17">
        <v>30</v>
      </c>
    </row>
    <row r="21" spans="1:3" ht="14.4" x14ac:dyDescent="0.3">
      <c r="A21" s="32">
        <v>44936</v>
      </c>
      <c r="B21" s="17" t="s">
        <v>157</v>
      </c>
      <c r="C21" s="17" t="e">
        <v>#N/A</v>
      </c>
    </row>
    <row r="22" spans="1:3" ht="14.4" x14ac:dyDescent="0.3">
      <c r="B22" s="17" t="s">
        <v>158</v>
      </c>
      <c r="C22" s="25" cm="1">
        <f t="array" ref="C22">SUM(IFERROR(C12:C21,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H23" sqref="H23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174</v>
      </c>
    </row>
    <row r="3" spans="1:14" ht="14.4" x14ac:dyDescent="0.3">
      <c r="B3" s="1" t="s">
        <v>150</v>
      </c>
    </row>
    <row r="4" spans="1:14" ht="18" x14ac:dyDescent="0.35">
      <c r="A4" s="43" t="s">
        <v>53</v>
      </c>
      <c r="B4" s="1"/>
      <c r="C4" s="2" t="s">
        <v>179</v>
      </c>
    </row>
    <row r="5" spans="1:14" ht="18" x14ac:dyDescent="0.35">
      <c r="A5" s="43" t="s">
        <v>152</v>
      </c>
      <c r="B5" s="1"/>
      <c r="C5" s="2" t="s">
        <v>181</v>
      </c>
    </row>
    <row r="6" spans="1:14" ht="14.4" x14ac:dyDescent="0.3">
      <c r="A6" s="1"/>
      <c r="B6" s="1" t="s">
        <v>182</v>
      </c>
    </row>
    <row r="7" spans="1:14" x14ac:dyDescent="0.3">
      <c r="B7" s="2" t="s">
        <v>183</v>
      </c>
    </row>
    <row r="8" spans="1:14" ht="23.4" x14ac:dyDescent="0.45">
      <c r="A8" s="18" t="s">
        <v>161</v>
      </c>
      <c r="B8" s="2" t="s">
        <v>184</v>
      </c>
      <c r="M8" s="18" t="s">
        <v>162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167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>
        <f>INDEX($A$9:$J$18,MATCH(VLOOKUP(A23, $M$9:$N$18, 2,FALSE),$A$9:$J$9,0),MATCH(VLOOKUP(B23, $M$9:$N$18, 2,FALSE),$A$9:$A$18,0))</f>
        <v>95</v>
      </c>
    </row>
    <row r="24" spans="1:14" ht="14.4" x14ac:dyDescent="0.3">
      <c r="A24" s="7">
        <v>10100</v>
      </c>
      <c r="B24" s="12">
        <v>10104</v>
      </c>
      <c r="C24" s="44">
        <f t="shared" ref="C24:C35" si="0">INDEX($A$9:$J$18,MATCH(VLOOKUP(A24, $M$9:$N$18, 2,FALSE),$A$9:$J$9,0),MATCH(VLOOKUP(B24, $M$9:$N$18, 2,FALSE),$A$9:$A$18,0))</f>
        <v>-1</v>
      </c>
    </row>
    <row r="25" spans="1:14" ht="14.4" x14ac:dyDescent="0.3">
      <c r="A25" s="7">
        <v>10108</v>
      </c>
      <c r="B25" s="12">
        <v>10102</v>
      </c>
      <c r="C25" s="44">
        <f t="shared" si="0"/>
        <v>160</v>
      </c>
    </row>
    <row r="26" spans="1:14" ht="14.4" x14ac:dyDescent="0.3">
      <c r="A26" s="7">
        <v>10100</v>
      </c>
      <c r="B26" s="12">
        <v>10106</v>
      </c>
      <c r="C26" s="44">
        <f t="shared" si="0"/>
        <v>185</v>
      </c>
    </row>
    <row r="27" spans="1:14" ht="14.4" x14ac:dyDescent="0.3">
      <c r="A27" s="7">
        <v>10108</v>
      </c>
      <c r="B27" s="12">
        <v>10110</v>
      </c>
      <c r="C27" s="44">
        <f t="shared" si="0"/>
        <v>50</v>
      </c>
    </row>
    <row r="28" spans="1:14" ht="14.4" x14ac:dyDescent="0.3">
      <c r="A28" s="7">
        <v>10102</v>
      </c>
      <c r="B28" s="12">
        <v>10104</v>
      </c>
      <c r="C28" s="44">
        <f t="shared" si="0"/>
        <v>-1</v>
      </c>
    </row>
    <row r="29" spans="1:14" ht="14.4" x14ac:dyDescent="0.3">
      <c r="A29" s="7">
        <v>10106</v>
      </c>
      <c r="B29" s="12">
        <v>10108</v>
      </c>
      <c r="C29" s="44">
        <f t="shared" si="0"/>
        <v>70</v>
      </c>
    </row>
    <row r="30" spans="1:14" ht="14.4" x14ac:dyDescent="0.3">
      <c r="A30" s="7">
        <v>10102</v>
      </c>
      <c r="B30" s="12">
        <v>10106</v>
      </c>
      <c r="C30" s="44">
        <f t="shared" si="0"/>
        <v>90</v>
      </c>
    </row>
    <row r="31" spans="1:14" ht="14.4" x14ac:dyDescent="0.3">
      <c r="A31" s="7">
        <v>10110</v>
      </c>
      <c r="B31" s="12">
        <v>10114</v>
      </c>
      <c r="C31" s="44">
        <f t="shared" si="0"/>
        <v>180</v>
      </c>
    </row>
    <row r="32" spans="1:14" ht="14.4" x14ac:dyDescent="0.3">
      <c r="A32" s="7">
        <v>10104</v>
      </c>
      <c r="B32" s="12">
        <v>10106</v>
      </c>
      <c r="C32" s="44">
        <f t="shared" si="0"/>
        <v>60</v>
      </c>
    </row>
    <row r="33" spans="1:3" ht="14.4" x14ac:dyDescent="0.3">
      <c r="A33" s="7">
        <v>10110</v>
      </c>
      <c r="B33" s="12">
        <v>10112</v>
      </c>
      <c r="C33" s="44">
        <f t="shared" si="0"/>
        <v>115</v>
      </c>
    </row>
    <row r="34" spans="1:3" ht="14.4" x14ac:dyDescent="0.3">
      <c r="A34" s="7">
        <v>10100</v>
      </c>
      <c r="B34" s="12">
        <v>10114</v>
      </c>
      <c r="C34" s="44">
        <f t="shared" si="0"/>
        <v>480</v>
      </c>
    </row>
    <row r="35" spans="1:3" ht="14.4" x14ac:dyDescent="0.3">
      <c r="A35" s="9">
        <v>10112</v>
      </c>
      <c r="B35" s="13">
        <v>10116</v>
      </c>
      <c r="C35" s="45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Nikhil Nandugade</cp:lastModifiedBy>
  <dcterms:created xsi:type="dcterms:W3CDTF">2015-02-10T17:33:11Z</dcterms:created>
  <dcterms:modified xsi:type="dcterms:W3CDTF">2024-10-24T12:36:10Z</dcterms:modified>
</cp:coreProperties>
</file>